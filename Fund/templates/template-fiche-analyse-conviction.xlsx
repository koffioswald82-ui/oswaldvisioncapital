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de conviction" sheetId="1" state="visible" r:id="rId1"/>
    <sheet xmlns:r="http://schemas.openxmlformats.org/officeDocument/2006/relationships" name="Données clés" sheetId="2" state="visible" r:id="rId2"/>
    <sheet xmlns:r="http://schemas.openxmlformats.org/officeDocument/2006/relationships" name="Thèse d'investissement" sheetId="3" state="visible" r:id="rId3"/>
    <sheet xmlns:r="http://schemas.openxmlformats.org/officeDocument/2006/relationships" name="Checklist publ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9">
    <font>
      <name val="Calibri"/>
      <family val="2"/>
      <color theme="1"/>
      <sz val="11"/>
      <scheme val="minor"/>
    </font>
    <font>
      <name val="Calibri"/>
      <b val="1"/>
      <color rgb="001A1A2E"/>
      <sz val="16"/>
    </font>
    <font>
      <name val="Calibri"/>
      <i val="1"/>
      <color rgb="004A4A68"/>
      <sz val="10"/>
    </font>
    <font>
      <name val="Calibri"/>
      <b val="1"/>
      <color rgb="00FFFFFF"/>
      <sz val="11"/>
    </font>
    <font>
      <name val="Calibri"/>
      <b val="1"/>
      <color rgb="001A1A2E"/>
      <sz val="10"/>
    </font>
    <font>
      <b val="1"/>
      <color rgb="001A1A2E"/>
      <sz val="13"/>
    </font>
    <font>
      <b val="1"/>
      <sz val="12"/>
    </font>
    <font>
      <b val="1"/>
      <color rgb="00FFFFFF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2EC"/>
      </patternFill>
    </fill>
    <fill>
      <patternFill patternType="solid">
        <fgColor rgb="00FEF3E2"/>
      </patternFill>
    </fill>
    <fill>
      <patternFill patternType="solid">
        <fgColor rgb="00C9832A"/>
      </patternFill>
    </fill>
  </fills>
  <borders count="2">
    <border>
      <left/>
      <right/>
      <top/>
      <bottom/>
      <diagonal/>
    </border>
    <border>
      <left style="thin">
        <color rgb="00E8E4F0"/>
      </left>
      <right style="thin">
        <color rgb="00E8E4F0"/>
      </right>
      <top style="thin">
        <color rgb="00E8E4F0"/>
      </top>
      <bottom style="thin">
        <color rgb="00E8E4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2" fontId="5" fillId="4" borderId="1" pivotButton="0" quotePrefix="0" xfId="0"/>
    <xf numFmtId="0" fontId="6" fillId="0" borderId="1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7" fillId="5" borderId="0" pivotButton="0" quotePrefix="0" xfId="0"/>
    <xf numFmtId="0" fontId="4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8" fillId="2" borderId="0" pivotButton="0" quotePrefix="0" xfId="0"/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1A7A4A"/>
      </font>
      <fill>
        <patternFill patternType="solid">
          <fgColor rgb="00E8F5EE"/>
        </patternFill>
      </fill>
    </dxf>
    <dxf>
      <font>
        <b val="1"/>
        <color rgb="00C0392B"/>
      </font>
      <fill>
        <patternFill patternType="solid">
          <fgColor rgb="00FDE8E8"/>
        </patternFill>
      </fill>
    </dxf>
    <dxf>
      <font>
        <b val="1"/>
        <color rgb="00C9832A"/>
      </font>
      <fill>
        <patternFill patternType="solid">
          <fgColor rgb="00FEF3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2" customWidth="1" min="3" max="3"/>
    <col width="14" customWidth="1" min="4" max="4"/>
    <col width="34" customWidth="1" min="5" max="5"/>
  </cols>
  <sheetData>
    <row r="1" ht="26" customHeight="1">
      <c r="A1" s="1" t="inlineStr">
        <is>
          <t>Score de conviction</t>
        </is>
      </c>
    </row>
    <row r="2" ht="16" customHeight="1">
      <c r="A2" s="2" t="inlineStr">
        <is>
          <t>Oswald Vision Capital — grille de notation pondérée, à remplir avant publication</t>
        </is>
      </c>
    </row>
    <row r="4" ht="22" customHeight="1">
      <c r="A4" s="3" t="inlineStr">
        <is>
          <t>Critère</t>
        </is>
      </c>
      <c r="B4" s="3" t="inlineStr">
        <is>
          <t>Poids (%)</t>
        </is>
      </c>
      <c r="C4" s="3" t="inlineStr">
        <is>
          <t>Note (1-10)</t>
        </is>
      </c>
      <c r="D4" s="3" t="inlineStr">
        <is>
          <t>Contribution</t>
        </is>
      </c>
      <c r="E4" s="3" t="inlineStr">
        <is>
          <t>Commentaire</t>
        </is>
      </c>
    </row>
    <row r="5">
      <c r="A5" s="4" t="inlineStr">
        <is>
          <t>Qualité du business (moat, marges, position concurrentielle)</t>
        </is>
      </c>
      <c r="B5" s="5" t="n">
        <v>0.25</v>
      </c>
      <c r="C5" s="6" t="n"/>
      <c r="D5" s="7">
        <f>B5*C5</f>
        <v/>
      </c>
      <c r="E5" s="8" t="n"/>
    </row>
    <row r="6">
      <c r="A6" s="4" t="inlineStr">
        <is>
          <t>Valorisation (P/E, EV/EBITDA vs historique et secteur)</t>
        </is>
      </c>
      <c r="B6" s="5" t="n">
        <v>0.2</v>
      </c>
      <c r="C6" s="6" t="n"/>
      <c r="D6" s="7">
        <f>B6*C6</f>
        <v/>
      </c>
      <c r="E6" s="8" t="n"/>
    </row>
    <row r="7">
      <c r="A7" s="4" t="inlineStr">
        <is>
          <t>Catalyseurs à 12 mois (résultats, lancement, régulation...)</t>
        </is>
      </c>
      <c r="B7" s="5" t="n">
        <v>0.15</v>
      </c>
      <c r="C7" s="6" t="n"/>
      <c r="D7" s="7">
        <f>B7*C7</f>
        <v/>
      </c>
      <c r="E7" s="8" t="n"/>
    </row>
    <row r="8">
      <c r="A8" s="4" t="inlineStr">
        <is>
          <t>Risques identifiés (marché, régulation, exécution)</t>
        </is>
      </c>
      <c r="B8" s="5" t="n">
        <v>0.15</v>
      </c>
      <c r="C8" s="6" t="n"/>
      <c r="D8" s="7">
        <f>B8*C8</f>
        <v/>
      </c>
      <c r="E8" s="8" t="n"/>
    </row>
    <row r="9">
      <c r="A9" s="4" t="inlineStr">
        <is>
          <t>Momentum / technique (tendance, volumes)</t>
        </is>
      </c>
      <c r="B9" s="5" t="n">
        <v>0.1</v>
      </c>
      <c r="C9" s="6" t="n"/>
      <c r="D9" s="7">
        <f>B9*C9</f>
        <v/>
      </c>
      <c r="E9" s="8" t="n"/>
    </row>
    <row r="10">
      <c r="A10" s="4" t="inlineStr">
        <is>
          <t>Qualité et fraîcheur des données disponibles</t>
        </is>
      </c>
      <c r="B10" s="5" t="n">
        <v>0.1</v>
      </c>
      <c r="C10" s="6" t="n"/>
      <c r="D10" s="7">
        <f>B10*C10</f>
        <v/>
      </c>
      <c r="E10" s="8" t="n"/>
    </row>
    <row r="11">
      <c r="A11" s="4" t="inlineStr">
        <is>
          <t>Alignement avec la stratégie du fonds (zone, style)</t>
        </is>
      </c>
      <c r="B11" s="5" t="n">
        <v>0.05</v>
      </c>
      <c r="C11" s="6" t="n"/>
      <c r="D11" s="7">
        <f>B11*C11</f>
        <v/>
      </c>
      <c r="E11" s="8" t="n"/>
    </row>
    <row r="13">
      <c r="A13" s="9" t="inlineStr">
        <is>
          <t>SCORE PONDÉRÉ TOTAL (/10)</t>
        </is>
      </c>
      <c r="D13" s="10">
        <f>SUM(D5:D11)</f>
        <v/>
      </c>
    </row>
    <row r="14">
      <c r="A14" s="9" t="inlineStr">
        <is>
          <t>RECOMMANDATION SUGGÉRÉE</t>
        </is>
      </c>
      <c r="D14" s="11">
        <f>IF(D13&gt;=7.5,"BUY",IF(D13&gt;=5.5,"HOLD",IF(D13&gt;=3.5,"NEUTRAL","SELL")))</f>
        <v/>
      </c>
    </row>
    <row r="16" ht="45" customHeight="1">
      <c r="A16" s="12" t="inlineStr">
        <is>
          <t>Note : la note (colonne C) est saisie manuellement pour chaque critère, de 1 (très faible) à 10 (excellent). Pour le critère "Risques", noter 10 = risques bien maîtrisés/limités, 1 = risques élevés non couverts. Le seuil BUY/HOLD/NEUTRAL/SELL ci-dessus est indicatif — la décision finale reste éditoriale.</t>
        </is>
      </c>
    </row>
  </sheetData>
  <mergeCells count="3">
    <mergeCell ref="A16:E16"/>
    <mergeCell ref="A2:F2"/>
    <mergeCell ref="A1:F1"/>
  </mergeCells>
  <conditionalFormatting sqref="D14">
    <cfRule type="cellIs" priority="1" operator="equal" dxfId="0">
      <formula>"BUY"</formula>
    </cfRule>
    <cfRule type="cellIs" priority="2" operator="equal" dxfId="1">
      <formula>"SELL"</formula>
    </cfRule>
    <cfRule type="cellIs" priority="3" operator="equal" dxfId="2">
      <formula>"HOLD"</formula>
    </cfRule>
  </conditionalFormatting>
  <conditionalFormatting sqref="C5:C11">
    <cfRule type="colorScale" priority="4">
      <colorScale>
        <cfvo type="num" val="1"/>
        <cfvo type="num" val="5.5"/>
        <cfvo type="num" val="10"/>
        <color rgb="00F8D7D3"/>
        <color rgb="00FEF3E2"/>
        <color rgb="00D9F0E1"/>
      </colorScale>
    </cfRule>
  </conditionalFormatting>
  <dataValidations count="1">
    <dataValidation sqref="C5:C11" showDropDown="0" showInputMessage="0" showErrorMessage="1" allowBlank="0" errorTitle="Note invalide" error="Entrez un nombre entier entre 1 et 10." type="whole" operator="between">
      <formula1>1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 ht="26" customHeight="1">
      <c r="A1" s="1" t="inlineStr">
        <is>
          <t>Données clés</t>
        </is>
      </c>
    </row>
    <row r="2" ht="16" customHeight="1">
      <c r="A2" s="2" t="inlineStr">
        <is>
          <t>Champs directement transférables dans le CMS (admin-ovc-secret.html)</t>
        </is>
      </c>
    </row>
    <row r="4" ht="20" customHeight="1">
      <c r="A4" s="13" t="inlineStr">
        <is>
          <t>Identification</t>
        </is>
      </c>
    </row>
    <row r="5">
      <c r="A5" s="14" t="inlineStr">
        <is>
          <t>Titre de l'analyse</t>
        </is>
      </c>
      <c r="B5" s="15" t="inlineStr"/>
    </row>
    <row r="6">
      <c r="A6" s="14" t="inlineStr">
        <is>
          <t>Ticker</t>
        </is>
      </c>
      <c r="B6" s="15" t="inlineStr"/>
    </row>
    <row r="7">
      <c r="A7" s="14" t="inlineStr">
        <is>
          <t>Zone géographique</t>
        </is>
      </c>
      <c r="B7" s="15" t="inlineStr"/>
    </row>
    <row r="8">
      <c r="A8" s="14" t="inlineStr">
        <is>
          <t>Stratégie</t>
        </is>
      </c>
      <c r="B8" s="15" t="inlineStr"/>
    </row>
    <row r="9">
      <c r="A9" s="14" t="inlineStr">
        <is>
          <t>Secteur</t>
        </is>
      </c>
      <c r="B9" s="15" t="inlineStr"/>
    </row>
    <row r="10">
      <c r="A10" s="14" t="inlineStr">
        <is>
          <t>Auteur</t>
        </is>
      </c>
      <c r="B10" s="15" t="inlineStr">
        <is>
          <t>Oswald Jaûres KOFFI</t>
        </is>
      </c>
    </row>
    <row r="11" ht="20" customHeight="1">
      <c r="A11" s="13" t="inlineStr">
        <is>
          <t>Valorisation &amp; cible</t>
        </is>
      </c>
    </row>
    <row r="12">
      <c r="A12" s="14" t="inlineStr">
        <is>
          <t>Cours actuel</t>
        </is>
      </c>
      <c r="B12" s="15" t="inlineStr"/>
    </row>
    <row r="13">
      <c r="A13" s="14" t="inlineStr">
        <is>
          <t>Devise</t>
        </is>
      </c>
      <c r="B13" s="15" t="inlineStr"/>
    </row>
    <row r="14">
      <c r="A14" s="14" t="inlineStr">
        <is>
          <t>Cours cible 12 mois</t>
        </is>
      </c>
      <c r="B14" s="15" t="inlineStr"/>
    </row>
    <row r="15">
      <c r="A15" s="14" t="inlineStr">
        <is>
          <t>Upside / downside (%)</t>
        </is>
      </c>
      <c r="B15" s="16">
        <f>IFERROR((C11-C10)/C10,"")</f>
        <v/>
      </c>
    </row>
    <row r="16">
      <c r="A16" s="14" t="inlineStr">
        <is>
          <t>P/E (x)</t>
        </is>
      </c>
      <c r="B16" s="15" t="inlineStr"/>
    </row>
    <row r="17">
      <c r="A17" s="14" t="inlineStr">
        <is>
          <t>EV/EBITDA (x)</t>
        </is>
      </c>
      <c r="B17" s="15" t="inlineStr"/>
    </row>
    <row r="18">
      <c r="A18" s="14" t="inlineStr">
        <is>
          <t>ROE (%)</t>
        </is>
      </c>
      <c r="B18" s="15" t="inlineStr"/>
    </row>
    <row r="19">
      <c r="A19" s="14" t="inlineStr">
        <is>
          <t>FCF Yield (%)</t>
        </is>
      </c>
      <c r="B19" s="15" t="inlineStr"/>
    </row>
    <row r="20">
      <c r="A20" s="14" t="inlineStr">
        <is>
          <t>Recommandation (BUY/HOLD/NEUTRAL/SELL)</t>
        </is>
      </c>
      <c r="B20" s="15" t="inlineStr"/>
    </row>
    <row r="21" ht="20" customHeight="1">
      <c r="A21" s="13" t="inlineStr">
        <is>
          <t>Méta article</t>
        </is>
      </c>
    </row>
    <row r="22">
      <c r="A22" s="14" t="inlineStr">
        <is>
          <t>Lede / accroche (1-2 phrases)</t>
        </is>
      </c>
      <c r="B22" s="15" t="inlineStr"/>
    </row>
    <row r="23">
      <c r="A23" s="14" t="inlineStr">
        <is>
          <t>Tags (séparés par des virgules)</t>
        </is>
      </c>
      <c r="B23" s="15" t="inlineStr"/>
    </row>
    <row r="24">
      <c r="A24" s="14" t="inlineStr">
        <is>
          <t>Temps de lecture estimé (min)</t>
        </is>
      </c>
      <c r="B24" s="15" t="inlineStr"/>
    </row>
  </sheetData>
  <mergeCells count="5">
    <mergeCell ref="A11:C11"/>
    <mergeCell ref="A1:C1"/>
    <mergeCell ref="A21:C21"/>
    <mergeCell ref="A4:C4"/>
    <mergeCell ref="A2:C2"/>
  </mergeCells>
  <dataValidations count="3">
    <dataValidation sqref="B7" showDropDown="0" showInputMessage="0" showErrorMessage="1" allowBlank="0" type="list">
      <formula1>"africa,americas,europe,asia"</formula1>
    </dataValidation>
    <dataValidation sqref="B8" showDropDown="0" showInputMessage="0" showErrorMessage="1" allowBlank="0" type="list">
      <formula1>"growth,value,blend"</formula1>
    </dataValidation>
    <dataValidation sqref="B17" showDropDown="0" showInputMessage="0" showErrorMessage="1" allowBlank="0" type="list">
      <formula1>"BUY,HOLD,NEUTRAL,SELL"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20" customWidth="1" min="2" max="2"/>
  </cols>
  <sheetData>
    <row r="1" ht="26" customHeight="1">
      <c r="A1" s="1" t="inlineStr">
        <is>
          <t>Thèse d'investissement</t>
        </is>
      </c>
    </row>
    <row r="2" ht="16" customHeight="1">
      <c r="A2" s="2" t="inlineStr">
        <is>
          <t>Structure de rédaction — à recopier dans les sections de l'article</t>
        </is>
      </c>
    </row>
    <row r="4">
      <c r="A4" s="17" t="inlineStr">
        <is>
          <t>Thèse haussière (bull case) — 3 points clés</t>
        </is>
      </c>
    </row>
    <row r="5" ht="20" customHeight="1">
      <c r="A5" s="18" t="n"/>
    </row>
    <row r="6"/>
    <row r="7"/>
    <row r="9">
      <c r="A9" s="17" t="inlineStr">
        <is>
          <t>Thèse baissière (bear case) — 3 points clés</t>
        </is>
      </c>
    </row>
    <row r="10" ht="20" customHeight="1">
      <c r="A10" s="18" t="n"/>
    </row>
    <row r="11"/>
    <row r="12"/>
    <row r="14">
      <c r="A14" s="17" t="inlineStr">
        <is>
          <t>Catalyseurs identifiés (événements à surveiller)</t>
        </is>
      </c>
    </row>
    <row r="15" ht="20" customHeight="1">
      <c r="A15" s="18" t="n"/>
    </row>
    <row r="16"/>
    <row r="17"/>
    <row r="19">
      <c r="A19" s="17" t="inlineStr">
        <is>
          <t>Risques principaux</t>
        </is>
      </c>
    </row>
    <row r="20" ht="20" customHeight="1">
      <c r="A20" s="18" t="n"/>
    </row>
    <row r="21"/>
    <row r="22"/>
    <row r="24">
      <c r="A24" s="17" t="inlineStr">
        <is>
          <t>Comparables sectoriels (peers)</t>
        </is>
      </c>
    </row>
    <row r="25" ht="20" customHeight="1">
      <c r="A25" s="18" t="n"/>
    </row>
    <row r="26"/>
    <row r="27"/>
    <row r="29">
      <c r="A29" s="17" t="inlineStr">
        <is>
          <t>Sources utilisées (rapports, données, liens)</t>
        </is>
      </c>
    </row>
    <row r="30" ht="20" customHeight="1">
      <c r="A30" s="18" t="n"/>
    </row>
    <row r="31"/>
    <row r="32"/>
    <row r="34">
      <c r="A34" s="17" t="inlineStr">
        <is>
          <t>Conclusion / verdict éditorial</t>
        </is>
      </c>
    </row>
    <row r="35" ht="20" customHeight="1">
      <c r="A35" s="18" t="n"/>
    </row>
    <row r="36"/>
    <row r="37"/>
  </sheetData>
  <mergeCells count="16">
    <mergeCell ref="A4:B4"/>
    <mergeCell ref="A24:B24"/>
    <mergeCell ref="A2:B2"/>
    <mergeCell ref="A10:B12"/>
    <mergeCell ref="A29:B29"/>
    <mergeCell ref="A20:B22"/>
    <mergeCell ref="A15:B17"/>
    <mergeCell ref="A19:B19"/>
    <mergeCell ref="A5:B7"/>
    <mergeCell ref="A14:B14"/>
    <mergeCell ref="A1:B1"/>
    <mergeCell ref="A35:B37"/>
    <mergeCell ref="A9:B9"/>
    <mergeCell ref="A30:B32"/>
    <mergeCell ref="A34:B34"/>
    <mergeCell ref="A25:B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30" customWidth="1" min="3" max="3"/>
  </cols>
  <sheetData>
    <row r="1" ht="26" customHeight="1">
      <c r="A1" s="1" t="inlineStr">
        <is>
          <t>Checklist avant publication</t>
        </is>
      </c>
    </row>
    <row r="2" ht="16" customHeight="1">
      <c r="A2" s="2" t="inlineStr">
        <is>
          <t>À valider avant de publier ou planifier l'article dans le CMS</t>
        </is>
      </c>
    </row>
    <row r="4" ht="22" customHeight="1">
      <c r="A4" s="3" t="inlineStr">
        <is>
          <t>Vérification</t>
        </is>
      </c>
      <c r="B4" s="3" t="inlineStr">
        <is>
          <t>Fait ?</t>
        </is>
      </c>
      <c r="C4" s="3" t="inlineStr">
        <is>
          <t>Note</t>
        </is>
      </c>
    </row>
    <row r="5">
      <c r="A5" s="4" t="inlineStr">
        <is>
          <t>Score de conviction complété (feuille 1)</t>
        </is>
      </c>
      <c r="B5" s="19" t="inlineStr">
        <is>
          <t>☐ À faire</t>
        </is>
      </c>
      <c r="C5" s="8" t="n"/>
    </row>
    <row r="6">
      <c r="A6" s="4" t="inlineStr">
        <is>
          <t>Toutes les données clés remplies (feuille 2)</t>
        </is>
      </c>
      <c r="B6" s="19" t="inlineStr">
        <is>
          <t>☐ À faire</t>
        </is>
      </c>
      <c r="C6" s="8" t="n"/>
    </row>
    <row r="7">
      <c r="A7" s="4" t="inlineStr">
        <is>
          <t>Thèse haussière ET baissière rédigées (pas seulement le cas favorable)</t>
        </is>
      </c>
      <c r="B7" s="19" t="inlineStr">
        <is>
          <t>☐ À faire</t>
        </is>
      </c>
      <c r="C7" s="8" t="n"/>
    </row>
    <row r="8">
      <c r="A8" s="4" t="inlineStr">
        <is>
          <t>Sources vérifiées et citées</t>
        </is>
      </c>
      <c r="B8" s="19" t="inlineStr">
        <is>
          <t>☐ À faire</t>
        </is>
      </c>
      <c r="C8" s="8" t="n"/>
    </row>
    <row r="9">
      <c r="A9" s="4" t="inlineStr">
        <is>
          <t>Chiffres recoupés avec au moins 2 sources</t>
        </is>
      </c>
      <c r="B9" s="19" t="inlineStr">
        <is>
          <t>☐ À faire</t>
        </is>
      </c>
      <c r="C9" s="8" t="n"/>
    </row>
    <row r="10">
      <c r="A10" s="4" t="inlineStr">
        <is>
          <t>Disclaimer / avertissement risque présent</t>
        </is>
      </c>
      <c r="B10" s="19" t="inlineStr">
        <is>
          <t>☐ À faire</t>
        </is>
      </c>
      <c r="C10" s="8" t="n"/>
    </row>
    <row r="11">
      <c r="A11" s="4" t="inlineStr">
        <is>
          <t>Version anglaise (data-en) rédigée si publication bilingue</t>
        </is>
      </c>
      <c r="B11" s="19" t="inlineStr">
        <is>
          <t>☐ À faire</t>
        </is>
      </c>
      <c r="C11" s="8" t="n"/>
    </row>
    <row r="12">
      <c r="A12" s="4" t="inlineStr">
        <is>
          <t>Ticker et zone corrects dans le CMS</t>
        </is>
      </c>
      <c r="B12" s="19" t="inlineStr">
        <is>
          <t>☐ À faire</t>
        </is>
      </c>
      <c r="C12" s="8" t="n"/>
    </row>
    <row r="13">
      <c r="A13" s="4" t="inlineStr">
        <is>
          <t>Slug généré et vérifié (pas de doublon)</t>
        </is>
      </c>
      <c r="B13" s="19" t="inlineStr">
        <is>
          <t>☐ À faire</t>
        </is>
      </c>
      <c r="C13" s="8" t="n"/>
    </row>
    <row r="14">
      <c r="A14" s="4" t="inlineStr">
        <is>
          <t>Aperçu (cmsPreview) relu avant publication</t>
        </is>
      </c>
      <c r="B14" s="19" t="inlineStr">
        <is>
          <t>☐ À faire</t>
        </is>
      </c>
      <c r="C14" s="8" t="n"/>
    </row>
  </sheetData>
  <mergeCells count="2">
    <mergeCell ref="A1:C1"/>
    <mergeCell ref="A2:C2"/>
  </mergeCells>
  <conditionalFormatting sqref="B5:B14">
    <cfRule type="cellIs" priority="1" operator="equal" dxfId="0">
      <formula>"✓ Fait"</formula>
    </cfRule>
  </conditionalFormatting>
  <dataValidations count="1">
    <dataValidation sqref="B5 B6 B7 B8 B9 B10 B11 B12 B13 B14" showDropDown="0" showInputMessage="0" showErrorMessage="1" allowBlank="0" type="list">
      <formula1>"☐ À faire,✓ Fait"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2026-07-25T09:36:54Z</dcterms:created>
  <dcterms:modified xmlns:dcterms="http://purl.org/dc/terms/" xmlns:xsi="http://www.w3.org/2001/XMLSchema-instance" xsi:type="dcterms:W3CDTF">2026-07-25T09:36:54Z</dcterms:modified>
</cp:coreProperties>
</file>